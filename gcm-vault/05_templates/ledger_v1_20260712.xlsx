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入表" sheetId="1" state="visible" r:id="rId1"/>
    <sheet xmlns:r="http://schemas.openxmlformats.org/officeDocument/2006/relationships" name="支出表" sheetId="2" state="visible" r:id="rId2"/>
    <sheet xmlns:r="http://schemas.openxmlformats.org/officeDocument/2006/relationships" name="月報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日期</t>
        </is>
      </c>
      <c r="B1" s="1" t="inlineStr">
        <is>
          <t>客戶</t>
        </is>
      </c>
      <c r="C1" s="1" t="inlineStr">
        <is>
          <t>服務別</t>
        </is>
      </c>
      <c r="D1" s="1" t="inlineStr">
        <is>
          <t>金額（未稅）</t>
        </is>
      </c>
      <c r="E1" s="1" t="inlineStr">
        <is>
          <t>金流管道</t>
        </is>
      </c>
      <c r="F1" s="1" t="inlineStr">
        <is>
          <t>綠界手續費</t>
        </is>
      </c>
      <c r="G1" s="1" t="inlineStr">
        <is>
          <t>實收金額</t>
        </is>
      </c>
      <c r="I1" s="2" t="inlineStr">
        <is>
          <t>說明：綠界手續費預設 2.75%，可依實際費率手動調整 F 欄公式（見 06_facts/platform_facts.md 查核後費率）</t>
        </is>
      </c>
    </row>
    <row r="2">
      <c r="A2" s="3" t="n"/>
      <c r="B2" s="3" t="n"/>
      <c r="C2" s="3" t="n"/>
      <c r="D2" s="3" t="n"/>
      <c r="E2" s="3" t="n"/>
      <c r="F2" s="3">
        <f>IF(E2="綠界",D2*0.0275,0)</f>
        <v/>
      </c>
      <c r="G2" s="3">
        <f>D2-F2</f>
        <v/>
      </c>
    </row>
    <row r="3">
      <c r="A3" s="3" t="n"/>
      <c r="B3" s="3" t="n"/>
      <c r="C3" s="3" t="n"/>
      <c r="D3" s="3" t="n"/>
      <c r="E3" s="3" t="n"/>
      <c r="F3" s="3">
        <f>IF(E3="綠界",D3*0.0275,0)</f>
        <v/>
      </c>
      <c r="G3" s="3">
        <f>D3-F3</f>
        <v/>
      </c>
    </row>
    <row r="4">
      <c r="A4" s="3" t="n"/>
      <c r="B4" s="3" t="n"/>
      <c r="C4" s="3" t="n"/>
      <c r="D4" s="3" t="n"/>
      <c r="E4" s="3" t="n"/>
      <c r="F4" s="3">
        <f>IF(E4="綠界",D4*0.0275,0)</f>
        <v/>
      </c>
      <c r="G4" s="3">
        <f>D4-F4</f>
        <v/>
      </c>
    </row>
    <row r="5">
      <c r="A5" s="3" t="n"/>
      <c r="B5" s="3" t="n"/>
      <c r="C5" s="3" t="n"/>
      <c r="D5" s="3" t="n"/>
      <c r="E5" s="3" t="n"/>
      <c r="F5" s="3">
        <f>IF(E5="綠界",D5*0.0275,0)</f>
        <v/>
      </c>
      <c r="G5" s="3">
        <f>D5-F5</f>
        <v/>
      </c>
    </row>
    <row r="6">
      <c r="A6" s="3" t="n"/>
      <c r="B6" s="3" t="n"/>
      <c r="C6" s="3" t="n"/>
      <c r="D6" s="3" t="n"/>
      <c r="E6" s="3" t="n"/>
      <c r="F6" s="3">
        <f>IF(E6="綠界",D6*0.0275,0)</f>
        <v/>
      </c>
      <c r="G6" s="3">
        <f>D6-F6</f>
        <v/>
      </c>
    </row>
    <row r="7">
      <c r="A7" s="3" t="n"/>
      <c r="B7" s="3" t="n"/>
      <c r="C7" s="3" t="n"/>
      <c r="D7" s="3" t="n"/>
      <c r="E7" s="3" t="n"/>
      <c r="F7" s="3">
        <f>IF(E7="綠界",D7*0.0275,0)</f>
        <v/>
      </c>
      <c r="G7" s="3">
        <f>D7-F7</f>
        <v/>
      </c>
    </row>
    <row r="8">
      <c r="A8" s="3" t="n"/>
      <c r="B8" s="3" t="n"/>
      <c r="C8" s="3" t="n"/>
      <c r="D8" s="3" t="n"/>
      <c r="E8" s="3" t="n"/>
      <c r="F8" s="3">
        <f>IF(E8="綠界",D8*0.0275,0)</f>
        <v/>
      </c>
      <c r="G8" s="3">
        <f>D8-F8</f>
        <v/>
      </c>
    </row>
    <row r="9">
      <c r="A9" s="3" t="n"/>
      <c r="B9" s="3" t="n"/>
      <c r="C9" s="3" t="n"/>
      <c r="D9" s="3" t="n"/>
      <c r="E9" s="3" t="n"/>
      <c r="F9" s="3">
        <f>IF(E9="綠界",D9*0.0275,0)</f>
        <v/>
      </c>
      <c r="G9" s="3">
        <f>D9-F9</f>
        <v/>
      </c>
    </row>
    <row r="10">
      <c r="A10" s="3" t="n"/>
      <c r="B10" s="3" t="n"/>
      <c r="C10" s="3" t="n"/>
      <c r="D10" s="3" t="n"/>
      <c r="E10" s="3" t="n"/>
      <c r="F10" s="3">
        <f>IF(E10="綠界",D10*0.0275,0)</f>
        <v/>
      </c>
      <c r="G10" s="3">
        <f>D10-F10</f>
        <v/>
      </c>
    </row>
    <row r="11">
      <c r="A11" s="3" t="n"/>
      <c r="B11" s="3" t="n"/>
      <c r="C11" s="3" t="n"/>
      <c r="D11" s="3" t="n"/>
      <c r="E11" s="3" t="n"/>
      <c r="F11" s="3">
        <f>IF(E11="綠界",D11*0.0275,0)</f>
        <v/>
      </c>
      <c r="G11" s="3">
        <f>D11-F11</f>
        <v/>
      </c>
    </row>
    <row r="12">
      <c r="A12" s="3" t="n"/>
      <c r="B12" s="3" t="n"/>
      <c r="C12" s="3" t="n"/>
      <c r="D12" s="3" t="n"/>
      <c r="E12" s="3" t="n"/>
      <c r="F12" s="3">
        <f>IF(E12="綠界",D12*0.0275,0)</f>
        <v/>
      </c>
      <c r="G12" s="3">
        <f>D12-F12</f>
        <v/>
      </c>
    </row>
    <row r="13">
      <c r="A13" s="3" t="n"/>
      <c r="B13" s="3" t="n"/>
      <c r="C13" s="3" t="n"/>
      <c r="D13" s="3" t="n"/>
      <c r="E13" s="3" t="n"/>
      <c r="F13" s="3">
        <f>IF(E13="綠界",D13*0.0275,0)</f>
        <v/>
      </c>
      <c r="G13" s="3">
        <f>D13-F13</f>
        <v/>
      </c>
    </row>
    <row r="14">
      <c r="A14" s="3" t="n"/>
      <c r="B14" s="3" t="n"/>
      <c r="C14" s="3" t="n"/>
      <c r="D14" s="3" t="n"/>
      <c r="E14" s="3" t="n"/>
      <c r="F14" s="3">
        <f>IF(E14="綠界",D14*0.0275,0)</f>
        <v/>
      </c>
      <c r="G14" s="3">
        <f>D14-F14</f>
        <v/>
      </c>
    </row>
    <row r="15">
      <c r="A15" s="3" t="n"/>
      <c r="B15" s="3" t="n"/>
      <c r="C15" s="3" t="n"/>
      <c r="D15" s="3" t="n"/>
      <c r="E15" s="3" t="n"/>
      <c r="F15" s="3">
        <f>IF(E15="綠界",D15*0.0275,0)</f>
        <v/>
      </c>
      <c r="G15" s="3">
        <f>D15-F15</f>
        <v/>
      </c>
    </row>
    <row r="16">
      <c r="A16" s="3" t="n"/>
      <c r="B16" s="3" t="n"/>
      <c r="C16" s="3" t="n"/>
      <c r="D16" s="3" t="n"/>
      <c r="E16" s="3" t="n"/>
      <c r="F16" s="3">
        <f>IF(E16="綠界",D16*0.0275,0)</f>
        <v/>
      </c>
      <c r="G16" s="3">
        <f>D16-F16</f>
        <v/>
      </c>
    </row>
    <row r="17">
      <c r="A17" s="3" t="n"/>
      <c r="B17" s="3" t="n"/>
      <c r="C17" s="3" t="n"/>
      <c r="D17" s="3" t="n"/>
      <c r="E17" s="3" t="n"/>
      <c r="F17" s="3">
        <f>IF(E17="綠界",D17*0.0275,0)</f>
        <v/>
      </c>
      <c r="G17" s="3">
        <f>D17-F17</f>
        <v/>
      </c>
    </row>
    <row r="18">
      <c r="A18" s="3" t="n"/>
      <c r="B18" s="3" t="n"/>
      <c r="C18" s="3" t="n"/>
      <c r="D18" s="3" t="n"/>
      <c r="E18" s="3" t="n"/>
      <c r="F18" s="3">
        <f>IF(E18="綠界",D18*0.0275,0)</f>
        <v/>
      </c>
      <c r="G18" s="3">
        <f>D18-F18</f>
        <v/>
      </c>
    </row>
    <row r="19">
      <c r="A19" s="3" t="n"/>
      <c r="B19" s="3" t="n"/>
      <c r="C19" s="3" t="n"/>
      <c r="D19" s="3" t="n"/>
      <c r="E19" s="3" t="n"/>
      <c r="F19" s="3">
        <f>IF(E19="綠界",D19*0.0275,0)</f>
        <v/>
      </c>
      <c r="G19" s="3">
        <f>D19-F19</f>
        <v/>
      </c>
    </row>
    <row r="20">
      <c r="A20" s="3" t="n"/>
      <c r="B20" s="3" t="n"/>
      <c r="C20" s="3" t="n"/>
      <c r="D20" s="3" t="n"/>
      <c r="E20" s="3" t="n"/>
      <c r="F20" s="3">
        <f>IF(E20="綠界",D20*0.0275,0)</f>
        <v/>
      </c>
      <c r="G20" s="3">
        <f>D20-F20</f>
        <v/>
      </c>
    </row>
    <row r="21">
      <c r="A21" s="3" t="n"/>
      <c r="B21" s="3" t="n"/>
      <c r="C21" s="3" t="n"/>
      <c r="D21" s="3" t="n"/>
      <c r="E21" s="3" t="n"/>
      <c r="F21" s="3">
        <f>IF(E21="綠界",D21*0.0275,0)</f>
        <v/>
      </c>
      <c r="G21" s="3">
        <f>D21-F21</f>
        <v/>
      </c>
    </row>
    <row r="22">
      <c r="A22" s="3" t="n"/>
      <c r="B22" s="3" t="n"/>
      <c r="C22" s="3" t="n"/>
      <c r="D22" s="3" t="n"/>
      <c r="E22" s="3" t="n"/>
      <c r="F22" s="3">
        <f>IF(E22="綠界",D22*0.0275,0)</f>
        <v/>
      </c>
      <c r="G22" s="3">
        <f>D22-F22</f>
        <v/>
      </c>
    </row>
    <row r="23">
      <c r="A23" s="3" t="n"/>
      <c r="B23" s="3" t="n"/>
      <c r="C23" s="3" t="n"/>
      <c r="D23" s="3" t="n"/>
      <c r="E23" s="3" t="n"/>
      <c r="F23" s="3">
        <f>IF(E23="綠界",D23*0.0275,0)</f>
        <v/>
      </c>
      <c r="G23" s="3">
        <f>D23-F23</f>
        <v/>
      </c>
    </row>
    <row r="24">
      <c r="A24" s="3" t="n"/>
      <c r="B24" s="3" t="n"/>
      <c r="C24" s="3" t="n"/>
      <c r="D24" s="3" t="n"/>
      <c r="E24" s="3" t="n"/>
      <c r="F24" s="3">
        <f>IF(E24="綠界",D24*0.0275,0)</f>
        <v/>
      </c>
      <c r="G24" s="3">
        <f>D24-F24</f>
        <v/>
      </c>
    </row>
    <row r="25">
      <c r="A25" s="3" t="n"/>
      <c r="B25" s="3" t="n"/>
      <c r="C25" s="3" t="n"/>
      <c r="D25" s="3" t="n"/>
      <c r="E25" s="3" t="n"/>
      <c r="F25" s="3">
        <f>IF(E25="綠界",D25*0.0275,0)</f>
        <v/>
      </c>
      <c r="G25" s="3">
        <f>D25-F25</f>
        <v/>
      </c>
    </row>
    <row r="26">
      <c r="A26" s="3" t="n"/>
      <c r="B26" s="3" t="n"/>
      <c r="C26" s="3" t="n"/>
      <c r="D26" s="3" t="n"/>
      <c r="E26" s="3" t="n"/>
      <c r="F26" s="3">
        <f>IF(E26="綠界",D26*0.0275,0)</f>
        <v/>
      </c>
      <c r="G26" s="3">
        <f>D26-F26</f>
        <v/>
      </c>
    </row>
    <row r="27">
      <c r="A27" s="3" t="n"/>
      <c r="B27" s="3" t="n"/>
      <c r="C27" s="3" t="n"/>
      <c r="D27" s="3" t="n"/>
      <c r="E27" s="3" t="n"/>
      <c r="F27" s="3">
        <f>IF(E27="綠界",D27*0.0275,0)</f>
        <v/>
      </c>
      <c r="G27" s="3">
        <f>D27-F27</f>
        <v/>
      </c>
    </row>
    <row r="28">
      <c r="A28" s="3" t="n"/>
      <c r="B28" s="3" t="n"/>
      <c r="C28" s="3" t="n"/>
      <c r="D28" s="3" t="n"/>
      <c r="E28" s="3" t="n"/>
      <c r="F28" s="3">
        <f>IF(E28="綠界",D28*0.0275,0)</f>
        <v/>
      </c>
      <c r="G28" s="3">
        <f>D28-F28</f>
        <v/>
      </c>
    </row>
    <row r="29">
      <c r="A29" s="3" t="n"/>
      <c r="B29" s="3" t="n"/>
      <c r="C29" s="3" t="n"/>
      <c r="D29" s="3" t="n"/>
      <c r="E29" s="3" t="n"/>
      <c r="F29" s="3">
        <f>IF(E29="綠界",D29*0.0275,0)</f>
        <v/>
      </c>
      <c r="G29" s="3">
        <f>D29-F29</f>
        <v/>
      </c>
    </row>
    <row r="30">
      <c r="A30" s="3" t="n"/>
      <c r="B30" s="3" t="n"/>
      <c r="C30" s="3" t="n"/>
      <c r="D30" s="3" t="n"/>
      <c r="E30" s="3" t="n"/>
      <c r="F30" s="3">
        <f>IF(E30="綠界",D30*0.0275,0)</f>
        <v/>
      </c>
      <c r="G30" s="3">
        <f>D30-F30</f>
        <v/>
      </c>
    </row>
    <row r="31">
      <c r="A31" s="3" t="n"/>
      <c r="B31" s="3" t="n"/>
      <c r="C31" s="3" t="n"/>
      <c r="D31" s="3" t="n"/>
      <c r="E31" s="3" t="n"/>
      <c r="F31" s="3">
        <f>IF(E31="綠界",D31*0.0275,0)</f>
        <v/>
      </c>
      <c r="G31" s="3">
        <f>D31-F31</f>
        <v/>
      </c>
    </row>
    <row r="33">
      <c r="A33" s="4" t="n"/>
      <c r="B33" s="4" t="n"/>
      <c r="C33" s="4" t="inlineStr">
        <is>
          <t>小計</t>
        </is>
      </c>
      <c r="D33" s="4">
        <f>SUM(D2:D31)</f>
        <v/>
      </c>
      <c r="E33" s="4" t="n"/>
      <c r="F33" s="4">
        <f>SUM(F2:F31)</f>
        <v/>
      </c>
      <c r="G33" s="4">
        <f>SUM(G2:G31)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</cols>
  <sheetData>
    <row r="1">
      <c r="A1" s="1" t="inlineStr">
        <is>
          <t>日期</t>
        </is>
      </c>
      <c r="B1" s="1" t="inlineStr">
        <is>
          <t>類別</t>
        </is>
      </c>
      <c r="C1" s="1" t="inlineStr">
        <is>
          <t>金額</t>
        </is>
      </c>
      <c r="D1" s="1" t="inlineStr">
        <is>
          <t>發票號</t>
        </is>
      </c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3">
      <c r="A33" s="4" t="n"/>
      <c r="B33" s="4" t="inlineStr">
        <is>
          <t>小計</t>
        </is>
      </c>
      <c r="C33" s="4">
        <f>SUM(C2:C31)</f>
        <v/>
      </c>
      <c r="D3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</cols>
  <sheetData>
    <row r="1">
      <c r="A1" s="5" t="inlineStr">
        <is>
          <t>月報表（樞紐總覽）</t>
        </is>
      </c>
    </row>
    <row r="3">
      <c r="A3" s="4" t="inlineStr">
        <is>
          <t>月費目標（新台幣）</t>
        </is>
      </c>
      <c r="B3" t="n">
        <v>300000</v>
      </c>
    </row>
    <row r="4">
      <c r="A4" s="4" t="inlineStr">
        <is>
          <t>本月總收入（未稅）</t>
        </is>
      </c>
      <c r="B4">
        <f>收入表!D33</f>
        <v/>
      </c>
    </row>
    <row r="5">
      <c r="A5" s="4" t="inlineStr">
        <is>
          <t>本月總實收</t>
        </is>
      </c>
      <c r="B5">
        <f>收入表!G33</f>
        <v/>
      </c>
    </row>
    <row r="6">
      <c r="A6" s="4" t="inlineStr">
        <is>
          <t>本月總支出</t>
        </is>
      </c>
      <c r="B6">
        <f>支出表!C33</f>
        <v/>
      </c>
    </row>
    <row r="7">
      <c r="A7" s="4" t="inlineStr">
        <is>
          <t>毛利（實收 - 支出）</t>
        </is>
      </c>
      <c r="B7">
        <f>B5-B6</f>
        <v/>
      </c>
    </row>
    <row r="8">
      <c r="A8" s="4" t="inlineStr">
        <is>
          <t>毛利率</t>
        </is>
      </c>
      <c r="B8" s="6">
        <f>IF(B5=0,0,B7/B5)</f>
        <v/>
      </c>
    </row>
    <row r="9">
      <c r="A9" s="4" t="inlineStr">
        <is>
          <t>月費目標達成率</t>
        </is>
      </c>
      <c r="B9" s="6">
        <f>IF(B3=0,0,B4/B3)</f>
        <v/>
      </c>
    </row>
    <row r="11">
      <c r="A11" s="4" t="inlineStr">
        <is>
          <t>各服務營收占比</t>
        </is>
      </c>
    </row>
    <row r="12">
      <c r="A12" s="1" t="inlineStr">
        <is>
          <t>服務別</t>
        </is>
      </c>
      <c r="B12" s="1" t="inlineStr">
        <is>
          <t>金額</t>
        </is>
      </c>
      <c r="C12" s="1" t="inlineStr">
        <is>
          <t>占比</t>
        </is>
      </c>
    </row>
    <row r="13">
      <c r="A13" s="3" t="inlineStr">
        <is>
          <t>海外房地產企業顧問</t>
        </is>
      </c>
      <c r="B13" s="3">
        <f>SUMIF(收入表!C:C,A13,收入表!D:D)</f>
        <v/>
      </c>
      <c r="C13" s="7">
        <f>IF($B$4=0,0,B13/$B$4)</f>
        <v/>
      </c>
    </row>
    <row r="14">
      <c r="A14" s="3" t="inlineStr">
        <is>
          <t>逆向破解競業情報書</t>
        </is>
      </c>
      <c r="B14" s="3">
        <f>SUMIF(收入表!C:C,A14,收入表!D:D)</f>
        <v/>
      </c>
      <c r="C14" s="7">
        <f>IF($B$4=0,0,B14/$B$4)</f>
        <v/>
      </c>
    </row>
    <row r="15">
      <c r="A15" s="3" t="inlineStr">
        <is>
          <t>履歷重構與面試技巧</t>
        </is>
      </c>
      <c r="B15" s="3">
        <f>SUMIF(收入表!C:C,A15,收入表!D:D)</f>
        <v/>
      </c>
      <c r="C15" s="7">
        <f>IF($B$4=0,0,B15/$B$4)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2026-07-12T09:18:40Z</dcterms:created>
  <dcterms:modified xmlns:dcterms="http://purl.org/dc/terms/" xmlns:xsi="http://www.w3.org/2001/XMLSchema-instance" xsi:type="dcterms:W3CDTF">2026-07-12T09:18:40Z</dcterms:modified>
</cp:coreProperties>
</file>